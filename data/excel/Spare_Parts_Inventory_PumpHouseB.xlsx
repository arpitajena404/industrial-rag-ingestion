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are Parts Inventory" sheetId="1" state="visible" r:id="rId1"/>
    <sheet xmlns:r="http://schemas.openxmlformats.org/officeDocument/2006/relationships" name="Legend &amp;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sz val="10"/>
    </font>
    <font>
      <b val="1"/>
      <color rgb="00FFFFFF"/>
      <sz val="11"/>
    </font>
    <font>
      <sz val="10"/>
    </font>
    <font>
      <b val="1"/>
      <color rgb="00C00000"/>
      <sz val="10"/>
    </font>
    <font>
      <b val="1"/>
      <color rgb="00FF6600"/>
      <sz val="10"/>
    </font>
    <font>
      <b val="1"/>
      <sz val="11"/>
    </font>
    <font>
      <b val="1"/>
      <color rgb="001F3864"/>
      <sz val="11"/>
    </font>
    <font>
      <b val="1"/>
      <color rgb="001F3864"/>
      <sz val="13"/>
    </font>
    <font>
      <b val="1"/>
      <color rgb="00FFFFFF"/>
    </font>
    <font>
      <b val="1"/>
      <color rgb="00C00000"/>
    </font>
    <font>
      <b val="1"/>
      <color rgb="00FF6600"/>
    </font>
    <font>
      <b val="1"/>
      <color rgb="00375623"/>
    </font>
    <font>
      <b val="1"/>
      <color rgb="0000000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D6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2" borderId="0" pivotButton="0" quotePrefix="0" xfId="0"/>
    <xf numFmtId="0" fontId="11" fillId="3" borderId="0" pivotButton="0" quotePrefix="0" xfId="0"/>
    <xf numFmtId="0" fontId="0" fillId="0" borderId="0" applyAlignment="1" pivotButton="0" quotePrefix="0" xfId="0">
      <alignment wrapText="1"/>
    </xf>
    <xf numFmtId="0" fontId="12" fillId="5" borderId="0" pivotButton="0" quotePrefix="0" xfId="0"/>
    <xf numFmtId="0" fontId="13" fillId="6" borderId="0" pivotButton="0" quotePrefix="0" xfId="0"/>
    <xf numFmtId="0" fontId="14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5" customWidth="1" min="1" max="1"/>
    <col width="42" customWidth="1" min="2" max="2"/>
    <col width="20" customWidth="1" min="3" max="3"/>
    <col width="22" customWidth="1" min="4" max="4"/>
    <col width="8" customWidth="1" min="5" max="5"/>
    <col width="12" customWidth="1" min="6" max="6"/>
    <col width="12" customWidth="1" min="7" max="7"/>
    <col width="12" customWidth="1" min="8" max="8"/>
    <col width="14" customWidth="1" min="9" max="9"/>
    <col width="16" customWidth="1" min="10" max="10"/>
    <col width="12" customWidth="1" min="11" max="11"/>
    <col width="14" customWidth="1" min="12" max="12"/>
    <col width="14" customWidth="1" min="13" max="13"/>
    <col width="12" customWidth="1" min="14" max="14"/>
  </cols>
  <sheetData>
    <row r="1">
      <c r="A1" s="1" t="inlineStr">
        <is>
          <t>BHARAT STEEL PLANT – SPARE PARTS INVENTORY</t>
        </is>
      </c>
    </row>
    <row r="2">
      <c r="A2" s="2" t="inlineStr">
        <is>
          <t>Pump House B – PUMP-101 &amp; PUMP-102 | Equipment: Centrifugal Pump KBL RD65-200 (SS304)</t>
        </is>
      </c>
    </row>
    <row r="3">
      <c r="A3" t="inlineStr">
        <is>
          <t>Plant: Bharat Steel Plant, Visakhapatnam</t>
        </is>
      </c>
      <c r="E3" t="inlineStr">
        <is>
          <t>Last Updated: 01-October-2024</t>
        </is>
      </c>
      <c r="I3" t="inlineStr">
        <is>
          <t>Maintained By: Stores Dept. – BSP/STR | Contact: stores@bharatsteel.in</t>
        </is>
      </c>
    </row>
    <row r="4" ht="5" customHeight="1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 ht="3" customHeight="1">
      <c r="A5" t="inlineStr">
        <is>
          <t>Part No.</t>
        </is>
      </c>
      <c r="B5" t="inlineStr">
        <is>
          <t>Description</t>
        </is>
      </c>
      <c r="C5" t="inlineStr">
        <is>
          <t>Make / Brand</t>
        </is>
      </c>
      <c r="D5" t="inlineStr">
        <is>
          <t>Applicable Equipment</t>
        </is>
      </c>
      <c r="E5" t="inlineStr">
        <is>
          <t>Unit</t>
        </is>
      </c>
      <c r="F5" t="inlineStr">
        <is>
          <t>Min. Stock (Qty)</t>
        </is>
      </c>
      <c r="G5" t="inlineStr">
        <is>
          <t>Current Stock (Qty)</t>
        </is>
      </c>
      <c r="H5" t="inlineStr">
        <is>
          <t>Reorder Level</t>
        </is>
      </c>
      <c r="I5" t="inlineStr">
        <is>
          <t>Unit Cost (INR)</t>
        </is>
      </c>
      <c r="J5" t="inlineStr">
        <is>
          <t>Total Value (INR)</t>
        </is>
      </c>
      <c r="K5" t="inlineStr">
        <is>
          <t>Lead Time (Days)</t>
        </is>
      </c>
      <c r="L5" t="inlineStr">
        <is>
          <t>Last Issued</t>
        </is>
      </c>
      <c r="M5" t="inlineStr">
        <is>
          <t>Last Received</t>
        </is>
      </c>
      <c r="N5" t="inlineStr">
        <is>
          <t>Criticality</t>
        </is>
      </c>
    </row>
    <row r="6" ht="30" customHeight="1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 ht="28" customHeight="1">
      <c r="A7" s="4" t="inlineStr">
        <is>
          <t>SKF-6309-2RS</t>
        </is>
      </c>
      <c r="B7" s="4" t="inlineStr">
        <is>
          <t>Deep Groove Ball Bearing 6309-2RS (DE Bearing)</t>
        </is>
      </c>
      <c r="C7" s="4" t="inlineStr">
        <is>
          <t>SKF</t>
        </is>
      </c>
      <c r="D7" s="4" t="inlineStr">
        <is>
          <t>PUMP-101, PUMP-102</t>
        </is>
      </c>
      <c r="E7" s="4" t="inlineStr">
        <is>
          <t>No.</t>
        </is>
      </c>
      <c r="F7" s="4" t="n">
        <v>2</v>
      </c>
      <c r="G7" s="4" t="n">
        <v>3</v>
      </c>
      <c r="H7" s="4" t="n">
        <v>2</v>
      </c>
      <c r="I7" s="4" t="n">
        <v>3200</v>
      </c>
      <c r="J7" s="4">
        <f>G7*I7</f>
        <v/>
      </c>
      <c r="K7" s="4" t="n">
        <v>21</v>
      </c>
      <c r="L7" s="4" t="inlineStr">
        <is>
          <t>12-Mar-2024</t>
        </is>
      </c>
      <c r="M7" s="4" t="inlineStr">
        <is>
          <t>15-Sep-2024</t>
        </is>
      </c>
      <c r="N7" s="5" t="inlineStr">
        <is>
          <t>CRITICAL</t>
        </is>
      </c>
    </row>
    <row r="8" ht="28" customHeight="1">
      <c r="A8" s="6" t="inlineStr">
        <is>
          <t>SKF-6306-2RS</t>
        </is>
      </c>
      <c r="B8" s="6" t="inlineStr">
        <is>
          <t>Deep Groove Ball Bearing 6306-2RS (NDE Bearing)</t>
        </is>
      </c>
      <c r="C8" s="6" t="inlineStr">
        <is>
          <t>SKF</t>
        </is>
      </c>
      <c r="D8" s="6" t="inlineStr">
        <is>
          <t>PUMP-101, PUMP-102</t>
        </is>
      </c>
      <c r="E8" s="6" t="inlineStr">
        <is>
          <t>No.</t>
        </is>
      </c>
      <c r="F8" s="6" t="n">
        <v>2</v>
      </c>
      <c r="G8" s="6" t="n">
        <v>2</v>
      </c>
      <c r="H8" s="6" t="n">
        <v>2</v>
      </c>
      <c r="I8" s="6" t="n">
        <v>2800</v>
      </c>
      <c r="J8" s="6">
        <f>G8*I8</f>
        <v/>
      </c>
      <c r="K8" s="6" t="n">
        <v>21</v>
      </c>
      <c r="L8" s="6" t="inlineStr">
        <is>
          <t>18-Jun-2024</t>
        </is>
      </c>
      <c r="M8" s="6" t="inlineStr">
        <is>
          <t>15-Sep-2024</t>
        </is>
      </c>
      <c r="N8" s="5" t="inlineStr">
        <is>
          <t>CRITICAL</t>
        </is>
      </c>
    </row>
    <row r="9" ht="28" customHeight="1">
      <c r="A9" s="4" t="inlineStr">
        <is>
          <t>FSL-MX-DN65</t>
        </is>
      </c>
      <c r="B9" s="4" t="inlineStr">
        <is>
          <t>Mechanical Seal – Flowserve MX Cartridge SiC/SiC, DN65</t>
        </is>
      </c>
      <c r="C9" s="4" t="inlineStr">
        <is>
          <t>Flowserve</t>
        </is>
      </c>
      <c r="D9" s="4" t="inlineStr">
        <is>
          <t>PUMP-101, PUMP-102</t>
        </is>
      </c>
      <c r="E9" s="4" t="inlineStr">
        <is>
          <t>No.</t>
        </is>
      </c>
      <c r="F9" s="4" t="n">
        <v>1</v>
      </c>
      <c r="G9" s="4" t="n">
        <v>2</v>
      </c>
      <c r="H9" s="4" t="n">
        <v>1</v>
      </c>
      <c r="I9" s="4" t="n">
        <v>28500</v>
      </c>
      <c r="J9" s="4">
        <f>G9*I9</f>
        <v/>
      </c>
      <c r="K9" s="4" t="n">
        <v>45</v>
      </c>
      <c r="L9" s="4" t="inlineStr">
        <is>
          <t>18-Jun-2024</t>
        </is>
      </c>
      <c r="M9" s="4" t="inlineStr">
        <is>
          <t>20-Aug-2024</t>
        </is>
      </c>
      <c r="N9" s="5" t="inlineStr">
        <is>
          <t>CRITICAL</t>
        </is>
      </c>
    </row>
    <row r="10" ht="28" customHeight="1">
      <c r="A10" s="6" t="inlineStr">
        <is>
          <t>WR-SS316-D65</t>
        </is>
      </c>
      <c r="B10" s="6" t="inlineStr">
        <is>
          <t>Wearing Ring – SS316, DN65 (Casing Ring)</t>
        </is>
      </c>
      <c r="C10" s="6" t="inlineStr">
        <is>
          <t>KBL OEM</t>
        </is>
      </c>
      <c r="D10" s="6" t="inlineStr">
        <is>
          <t>PUMP-101, PUMP-102</t>
        </is>
      </c>
      <c r="E10" s="6" t="inlineStr">
        <is>
          <t>No.</t>
        </is>
      </c>
      <c r="F10" s="6" t="n">
        <v>2</v>
      </c>
      <c r="G10" s="6" t="n">
        <v>4</v>
      </c>
      <c r="H10" s="6" t="n">
        <v>2</v>
      </c>
      <c r="I10" s="6" t="n">
        <v>4200</v>
      </c>
      <c r="J10" s="6">
        <f>G10*I10</f>
        <v/>
      </c>
      <c r="K10" s="6" t="n">
        <v>30</v>
      </c>
      <c r="L10" s="6" t="inlineStr">
        <is>
          <t>18-Jun-2024</t>
        </is>
      </c>
      <c r="M10" s="6" t="inlineStr">
        <is>
          <t>01-Jul-2024</t>
        </is>
      </c>
      <c r="N10" s="7" t="inlineStr">
        <is>
          <t>HIGH</t>
        </is>
      </c>
    </row>
    <row r="11" ht="28" customHeight="1">
      <c r="A11" s="4" t="inlineStr">
        <is>
          <t>WR-SS316-D65-I</t>
        </is>
      </c>
      <c r="B11" s="4" t="inlineStr">
        <is>
          <t>Wearing Ring – SS316, DN65 (Impeller Ring)</t>
        </is>
      </c>
      <c r="C11" s="4" t="inlineStr">
        <is>
          <t>KBL OEM</t>
        </is>
      </c>
      <c r="D11" s="4" t="inlineStr">
        <is>
          <t>PUMP-101, PUMP-102</t>
        </is>
      </c>
      <c r="E11" s="4" t="inlineStr">
        <is>
          <t>No.</t>
        </is>
      </c>
      <c r="F11" s="4" t="n">
        <v>2</v>
      </c>
      <c r="G11" s="4" t="n">
        <v>4</v>
      </c>
      <c r="H11" s="4" t="n">
        <v>2</v>
      </c>
      <c r="I11" s="4" t="n">
        <v>4200</v>
      </c>
      <c r="J11" s="4">
        <f>G11*I11</f>
        <v/>
      </c>
      <c r="K11" s="4" t="n">
        <v>30</v>
      </c>
      <c r="L11" s="4" t="inlineStr">
        <is>
          <t>01-Dec-2023</t>
        </is>
      </c>
      <c r="M11" s="4" t="inlineStr">
        <is>
          <t>01-Jul-2024</t>
        </is>
      </c>
      <c r="N11" s="7" t="inlineStr">
        <is>
          <t>HIGH</t>
        </is>
      </c>
    </row>
    <row r="12" ht="28" customHeight="1">
      <c r="A12" s="6" t="inlineStr">
        <is>
          <t>IMP-SS304-RD65</t>
        </is>
      </c>
      <c r="B12" s="6" t="inlineStr">
        <is>
          <t>Impeller – SS304, Radial, RD65-200</t>
        </is>
      </c>
      <c r="C12" s="6" t="inlineStr">
        <is>
          <t>KBL OEM</t>
        </is>
      </c>
      <c r="D12" s="6" t="inlineStr">
        <is>
          <t>PUMP-101, PUMP-102</t>
        </is>
      </c>
      <c r="E12" s="6" t="inlineStr">
        <is>
          <t>No.</t>
        </is>
      </c>
      <c r="F12" s="6" t="n">
        <v>1</v>
      </c>
      <c r="G12" s="6" t="n">
        <v>1</v>
      </c>
      <c r="H12" s="6" t="n">
        <v>1</v>
      </c>
      <c r="I12" s="6" t="n">
        <v>32000</v>
      </c>
      <c r="J12" s="6">
        <f>G12*I12</f>
        <v/>
      </c>
      <c r="K12" s="6" t="n">
        <v>60</v>
      </c>
      <c r="L12" s="6" t="inlineStr">
        <is>
          <t>Never</t>
        </is>
      </c>
      <c r="M12" s="6" t="inlineStr">
        <is>
          <t>01-Jan-2023</t>
        </is>
      </c>
      <c r="N12" s="5" t="inlineStr">
        <is>
          <t>CRITICAL</t>
        </is>
      </c>
    </row>
    <row r="13" ht="28" customHeight="1">
      <c r="A13" s="4" t="inlineStr">
        <is>
          <t>SFT-SS316-RD65</t>
        </is>
      </c>
      <c r="B13" s="4" t="inlineStr">
        <is>
          <t>Pump Shaft – SS316, RD65 Series</t>
        </is>
      </c>
      <c r="C13" s="4" t="inlineStr">
        <is>
          <t>KBL OEM</t>
        </is>
      </c>
      <c r="D13" s="4" t="inlineStr">
        <is>
          <t>PUMP-101, PUMP-102</t>
        </is>
      </c>
      <c r="E13" s="4" t="inlineStr">
        <is>
          <t>No.</t>
        </is>
      </c>
      <c r="F13" s="8" t="n">
        <v>1</v>
      </c>
      <c r="G13" s="8" t="n">
        <v>1</v>
      </c>
      <c r="H13" s="4" t="n">
        <v>1</v>
      </c>
      <c r="I13" s="4" t="n">
        <v>18500</v>
      </c>
      <c r="J13" s="4">
        <f>G13*I13</f>
        <v/>
      </c>
      <c r="K13" s="4" t="n">
        <v>60</v>
      </c>
      <c r="L13" s="4" t="inlineStr">
        <is>
          <t>Never</t>
        </is>
      </c>
      <c r="M13" s="4" t="inlineStr">
        <is>
          <t>01-Jan-2023</t>
        </is>
      </c>
      <c r="N13" s="7" t="inlineStr">
        <is>
          <t>HIGH</t>
        </is>
      </c>
    </row>
    <row r="14" ht="28" customHeight="1">
      <c r="A14" s="6" t="inlineStr">
        <is>
          <t>SFT-SLV-SS316</t>
        </is>
      </c>
      <c r="B14" s="6" t="inlineStr">
        <is>
          <t>Shaft Sleeve – SS316, DN40</t>
        </is>
      </c>
      <c r="C14" s="6" t="inlineStr">
        <is>
          <t>KBL OEM</t>
        </is>
      </c>
      <c r="D14" s="6" t="inlineStr">
        <is>
          <t>PUMP-101, PUMP-102</t>
        </is>
      </c>
      <c r="E14" s="6" t="inlineStr">
        <is>
          <t>No.</t>
        </is>
      </c>
      <c r="F14" s="6" t="n">
        <v>2</v>
      </c>
      <c r="G14" s="6" t="n">
        <v>3</v>
      </c>
      <c r="H14" s="6" t="n">
        <v>2</v>
      </c>
      <c r="I14" s="6" t="n">
        <v>5600</v>
      </c>
      <c r="J14" s="6">
        <f>G14*I14</f>
        <v/>
      </c>
      <c r="K14" s="6" t="n">
        <v>30</v>
      </c>
      <c r="L14" s="6" t="inlineStr">
        <is>
          <t>01-Dec-2023</t>
        </is>
      </c>
      <c r="M14" s="6" t="inlineStr">
        <is>
          <t>01-Jul-2024</t>
        </is>
      </c>
      <c r="N14" s="7" t="inlineStr">
        <is>
          <t>HIGH</t>
        </is>
      </c>
    </row>
    <row r="15" ht="28" customHeight="1">
      <c r="A15" s="4" t="inlineStr">
        <is>
          <t>GKT-DN65-SW</t>
        </is>
      </c>
      <c r="B15" s="4" t="inlineStr">
        <is>
          <t>Spiral Wound Gasket SS304/Graphite, DN65</t>
        </is>
      </c>
      <c r="C15" s="4" t="inlineStr">
        <is>
          <t>Flexitallic</t>
        </is>
      </c>
      <c r="D15" s="4" t="inlineStr">
        <is>
          <t>PUMP-101, PUMP-102</t>
        </is>
      </c>
      <c r="E15" s="4" t="inlineStr">
        <is>
          <t>No.</t>
        </is>
      </c>
      <c r="F15" s="4" t="n">
        <v>6</v>
      </c>
      <c r="G15" s="4" t="n">
        <v>12</v>
      </c>
      <c r="H15" s="4" t="n">
        <v>6</v>
      </c>
      <c r="I15" s="4" t="n">
        <v>650</v>
      </c>
      <c r="J15" s="4">
        <f>G15*I15</f>
        <v/>
      </c>
      <c r="K15" s="4" t="n">
        <v>14</v>
      </c>
      <c r="L15" s="4" t="inlineStr">
        <is>
          <t>12-Mar-2024</t>
        </is>
      </c>
      <c r="M15" s="4" t="inlineStr">
        <is>
          <t>01-Sep-2024</t>
        </is>
      </c>
      <c r="N15" s="4" t="inlineStr">
        <is>
          <t>MEDIUM</t>
        </is>
      </c>
    </row>
    <row r="16" ht="28" customHeight="1">
      <c r="A16" s="6" t="inlineStr">
        <is>
          <t>GKT-DN80-SW</t>
        </is>
      </c>
      <c r="B16" s="6" t="inlineStr">
        <is>
          <t>Spiral Wound Gasket SS304/Graphite, DN80</t>
        </is>
      </c>
      <c r="C16" s="6" t="inlineStr">
        <is>
          <t>Flexitallic</t>
        </is>
      </c>
      <c r="D16" s="6" t="inlineStr">
        <is>
          <t>PUMP-101, PUMP-102</t>
        </is>
      </c>
      <c r="E16" s="6" t="inlineStr">
        <is>
          <t>No.</t>
        </is>
      </c>
      <c r="F16" s="6" t="n">
        <v>4</v>
      </c>
      <c r="G16" s="6" t="n">
        <v>8</v>
      </c>
      <c r="H16" s="6" t="n">
        <v>4</v>
      </c>
      <c r="I16" s="6" t="n">
        <v>720</v>
      </c>
      <c r="J16" s="6">
        <f>G16*I16</f>
        <v/>
      </c>
      <c r="K16" s="6" t="n">
        <v>14</v>
      </c>
      <c r="L16" s="6" t="inlineStr">
        <is>
          <t>18-Jun-2024</t>
        </is>
      </c>
      <c r="M16" s="6" t="inlineStr">
        <is>
          <t>01-Sep-2024</t>
        </is>
      </c>
      <c r="N16" s="4" t="inlineStr">
        <is>
          <t>MEDIUM</t>
        </is>
      </c>
    </row>
    <row r="17" ht="28" customHeight="1">
      <c r="A17" s="4" t="inlineStr">
        <is>
          <t>MSHC100-500G</t>
        </is>
      </c>
      <c r="B17" s="4" t="inlineStr">
        <is>
          <t>Bearing Grease – Mobil SHC 100, 500g Cartridge</t>
        </is>
      </c>
      <c r="C17" s="4" t="inlineStr">
        <is>
          <t>Mobil ExxonMobil</t>
        </is>
      </c>
      <c r="D17" s="4" t="inlineStr">
        <is>
          <t>PUMP-101, PUMP-102</t>
        </is>
      </c>
      <c r="E17" s="4" t="inlineStr">
        <is>
          <t>Cartridge</t>
        </is>
      </c>
      <c r="F17" s="4" t="n">
        <v>4</v>
      </c>
      <c r="G17" s="4" t="n">
        <v>6</v>
      </c>
      <c r="H17" s="4" t="n">
        <v>4</v>
      </c>
      <c r="I17" s="4" t="n">
        <v>850</v>
      </c>
      <c r="J17" s="4">
        <f>G17*I17</f>
        <v/>
      </c>
      <c r="K17" s="4" t="n">
        <v>7</v>
      </c>
      <c r="L17" s="4" t="inlineStr">
        <is>
          <t>01-Sep-2024</t>
        </is>
      </c>
      <c r="M17" s="4" t="inlineStr">
        <is>
          <t>15-Sep-2024</t>
        </is>
      </c>
      <c r="N17" s="4" t="inlineStr">
        <is>
          <t>MEDIUM</t>
        </is>
      </c>
    </row>
    <row r="18" ht="28" customHeight="1">
      <c r="A18" s="6" t="inlineStr">
        <is>
          <t>COUP-GRID-KBL</t>
        </is>
      </c>
      <c r="B18" s="6" t="inlineStr">
        <is>
          <t>Grid Coupling (Bibby Type) – KBL RD65 Series</t>
        </is>
      </c>
      <c r="C18" s="6" t="inlineStr">
        <is>
          <t>KBL OEM</t>
        </is>
      </c>
      <c r="D18" s="6" t="inlineStr">
        <is>
          <t>PUMP-101, PUMP-102</t>
        </is>
      </c>
      <c r="E18" s="6" t="inlineStr">
        <is>
          <t>Set</t>
        </is>
      </c>
      <c r="F18" s="6" t="n">
        <v>1</v>
      </c>
      <c r="G18" s="6" t="n">
        <v>1</v>
      </c>
      <c r="H18" s="6" t="n">
        <v>1</v>
      </c>
      <c r="I18" s="6" t="n">
        <v>12000</v>
      </c>
      <c r="J18" s="6">
        <f>G18*I18</f>
        <v/>
      </c>
      <c r="K18" s="6" t="n">
        <v>45</v>
      </c>
      <c r="L18" s="6" t="inlineStr">
        <is>
          <t>Never</t>
        </is>
      </c>
      <c r="M18" s="6" t="inlineStr">
        <is>
          <t>01-Jan-2023</t>
        </is>
      </c>
      <c r="N18" s="7" t="inlineStr">
        <is>
          <t>HIGH</t>
        </is>
      </c>
    </row>
    <row r="19" ht="28" customHeight="1">
      <c r="A19" s="4" t="inlineStr">
        <is>
          <t>BOLT-SS316-M16</t>
        </is>
      </c>
      <c r="B19" s="4" t="inlineStr">
        <is>
          <t>Foundation Bolt SS316 M16x100mm with Nut</t>
        </is>
      </c>
      <c r="C19" s="4" t="inlineStr">
        <is>
          <t>Standard</t>
        </is>
      </c>
      <c r="D19" s="4" t="inlineStr">
        <is>
          <t>PUMP-101 Baseplate</t>
        </is>
      </c>
      <c r="E19" s="4" t="inlineStr">
        <is>
          <t>No.</t>
        </is>
      </c>
      <c r="F19" s="4" t="n">
        <v>8</v>
      </c>
      <c r="G19" s="4" t="n">
        <v>16</v>
      </c>
      <c r="H19" s="4" t="n">
        <v>8</v>
      </c>
      <c r="I19" s="4" t="n">
        <v>280</v>
      </c>
      <c r="J19" s="4">
        <f>G19*I19</f>
        <v/>
      </c>
      <c r="K19" s="4" t="n">
        <v>7</v>
      </c>
      <c r="L19" s="4" t="inlineStr">
        <is>
          <t>01-Jan-2023</t>
        </is>
      </c>
      <c r="M19" s="4" t="inlineStr">
        <is>
          <t>01-Sep-2024</t>
        </is>
      </c>
      <c r="N19" s="4" t="inlineStr">
        <is>
          <t>LOW</t>
        </is>
      </c>
    </row>
    <row r="20" ht="28" customHeight="1">
      <c r="A20" s="6" t="inlineStr">
        <is>
          <t>SEAL-PTFE-TAPE</t>
        </is>
      </c>
      <c r="B20" s="6" t="inlineStr">
        <is>
          <t>PTFE Thread Seal Tape 12mm</t>
        </is>
      </c>
      <c r="C20" s="6" t="inlineStr">
        <is>
          <t>Standard</t>
        </is>
      </c>
      <c r="D20" s="6" t="inlineStr">
        <is>
          <t>PUMP-101, PUMP-102</t>
        </is>
      </c>
      <c r="E20" s="6" t="inlineStr">
        <is>
          <t>Roll</t>
        </is>
      </c>
      <c r="F20" s="6" t="n">
        <v>10</v>
      </c>
      <c r="G20" s="6" t="n">
        <v>24</v>
      </c>
      <c r="H20" s="6" t="n">
        <v>10</v>
      </c>
      <c r="I20" s="6" t="n">
        <v>45</v>
      </c>
      <c r="J20" s="6">
        <f>G20*I20</f>
        <v/>
      </c>
      <c r="K20" s="6" t="n">
        <v>2</v>
      </c>
      <c r="L20" s="6" t="inlineStr">
        <is>
          <t>22-Sep-2024</t>
        </is>
      </c>
      <c r="M20" s="6" t="inlineStr">
        <is>
          <t>01-Oct-2024</t>
        </is>
      </c>
      <c r="N20" s="4" t="inlineStr">
        <is>
          <t>LOW</t>
        </is>
      </c>
    </row>
    <row r="21" ht="28" customHeight="1">
      <c r="A21" s="4" t="inlineStr">
        <is>
          <t>ORNG-EPDM-36</t>
        </is>
      </c>
      <c r="B21" s="4" t="inlineStr">
        <is>
          <t>O-Ring EPDM, 36mm ID x 3mm (Casing Cover)</t>
        </is>
      </c>
      <c r="C21" s="4" t="inlineStr">
        <is>
          <t>Parker</t>
        </is>
      </c>
      <c r="D21" s="4" t="inlineStr">
        <is>
          <t>PUMP-101, PUMP-102</t>
        </is>
      </c>
      <c r="E21" s="4" t="inlineStr">
        <is>
          <t>No.</t>
        </is>
      </c>
      <c r="F21" s="4" t="n">
        <v>4</v>
      </c>
      <c r="G21" s="4" t="n">
        <v>6</v>
      </c>
      <c r="H21" s="4" t="n">
        <v>4</v>
      </c>
      <c r="I21" s="4" t="n">
        <v>380</v>
      </c>
      <c r="J21" s="4">
        <f>G21*I21</f>
        <v/>
      </c>
      <c r="K21" s="4" t="n">
        <v>14</v>
      </c>
      <c r="L21" s="4" t="inlineStr">
        <is>
          <t>18-Jun-2024</t>
        </is>
      </c>
      <c r="M21" s="4" t="inlineStr">
        <is>
          <t>01-Aug-2024</t>
        </is>
      </c>
      <c r="N21" s="4" t="inlineStr">
        <is>
          <t>MEDIUM</t>
        </is>
      </c>
    </row>
    <row r="23">
      <c r="A23" s="9" t="inlineStr">
        <is>
          <t>TOTAL INVENTORY VALUE</t>
        </is>
      </c>
      <c r="J23" s="10">
        <f>SUM(J7:J21)</f>
        <v/>
      </c>
    </row>
  </sheetData>
  <mergeCells count="5">
    <mergeCell ref="E3:H3"/>
    <mergeCell ref="A3:D3"/>
    <mergeCell ref="A2:N2"/>
    <mergeCell ref="I3:N3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3" max="3"/>
  </cols>
  <sheetData>
    <row r="1">
      <c r="A1" s="11" t="inlineStr">
        <is>
          <t>CRITICALITY CLASSIFICATION – GUIDE</t>
        </is>
      </c>
    </row>
    <row r="3">
      <c r="A3" s="12" t="inlineStr">
        <is>
          <t>Criticality</t>
        </is>
      </c>
      <c r="B3" s="12" t="inlineStr">
        <is>
          <t>Colour</t>
        </is>
      </c>
      <c r="C3" s="12" t="inlineStr">
        <is>
          <t>Description</t>
        </is>
      </c>
      <c r="D3" s="12" t="inlineStr">
        <is>
          <t>Action</t>
        </is>
      </c>
    </row>
    <row r="4" ht="22" customHeight="1">
      <c r="A4" s="13" t="inlineStr">
        <is>
          <t>CRITICAL</t>
        </is>
      </c>
      <c r="B4" t="inlineStr"/>
      <c r="C4" s="14" t="inlineStr">
        <is>
          <t>Pump will fail immediately without this part. No substitute available. Always maintain minimum stock.</t>
        </is>
      </c>
      <c r="D4" t="inlineStr"/>
    </row>
    <row r="5" ht="22" customHeight="1">
      <c r="A5" s="15" t="inlineStr">
        <is>
          <t>HIGH</t>
        </is>
      </c>
      <c r="B5" t="inlineStr"/>
      <c r="C5" s="14" t="inlineStr">
        <is>
          <t>Pump performance severely impacted. Failure likely within 1–2 weeks. Maintain minimum stock.</t>
        </is>
      </c>
      <c r="D5" t="inlineStr"/>
    </row>
    <row r="6" ht="22" customHeight="1">
      <c r="A6" s="16" t="inlineStr">
        <is>
          <t>MEDIUM</t>
        </is>
      </c>
      <c r="B6" t="inlineStr"/>
      <c r="C6" s="14" t="inlineStr">
        <is>
          <t>Pump can run short-term without this part. Order promptly when at reorder level.</t>
        </is>
      </c>
      <c r="D6" t="inlineStr"/>
    </row>
    <row r="7" ht="22" customHeight="1">
      <c r="A7" s="17" t="inlineStr">
        <is>
          <t>LOW</t>
        </is>
      </c>
      <c r="B7" t="inlineStr"/>
      <c r="C7" s="14" t="inlineStr">
        <is>
          <t>Non-critical. Standard consumable. Order as needed.</t>
        </is>
      </c>
      <c r="D7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2026-07-02T06:23:32Z</dcterms:created>
  <dcterms:modified xmlns:dcterms="http://purl.org/dc/terms/" xmlns:xsi="http://www.w3.org/2001/XMLSchema-instance" xsi:type="dcterms:W3CDTF">2026-07-02T06:23:32Z</dcterms:modified>
</cp:coreProperties>
</file>