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History" sheetId="1" state="visible" r:id="rId1"/>
    <sheet xmlns:r="http://schemas.openxmlformats.org/officeDocument/2006/relationships" name="Performance Monitoring" sheetId="2" state="visible" r:id="rId2"/>
    <sheet xmlns:r="http://schemas.openxmlformats.org/officeDocument/2006/relationships" name="Equipment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10"/>
    </font>
    <font>
      <b val="1"/>
      <color rgb="00FFFFFF"/>
      <sz val="11"/>
    </font>
    <font>
      <sz val="9"/>
    </font>
    <font>
      <b val="1"/>
      <color rgb="00375623"/>
      <sz val="9"/>
    </font>
    <font>
      <b val="1"/>
      <color rgb="007F6000"/>
      <sz val="9"/>
    </font>
    <font>
      <b val="1"/>
      <color rgb="001F3864"/>
      <sz val="11"/>
    </font>
    <font>
      <b val="1"/>
      <sz val="10"/>
    </font>
    <font>
      <sz val="10"/>
    </font>
    <font>
      <b val="1"/>
      <color rgb="00C00000"/>
      <sz val="10"/>
    </font>
    <font>
      <b val="1"/>
      <color rgb="001F3864"/>
      <sz val="13"/>
    </font>
    <font>
      <i val="1"/>
      <sz val="9"/>
    </font>
    <font>
      <b val="1"/>
      <color rgb="00C00000"/>
      <sz val="9"/>
    </font>
    <font>
      <b val="1"/>
      <color rgb="001F3864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8" customWidth="1" min="4" max="4"/>
    <col width="52" customWidth="1" min="5" max="5"/>
    <col width="16" customWidth="1" min="6" max="6"/>
    <col width="14" customWidth="1" min="7" max="7"/>
    <col width="42" customWidth="1" min="8" max="8"/>
    <col width="12" customWidth="1" min="9" max="9"/>
    <col width="12" customWidth="1" min="10" max="10"/>
    <col width="14" customWidth="1" min="11" max="11"/>
    <col width="10" customWidth="1" min="12" max="12"/>
  </cols>
  <sheetData>
    <row r="1">
      <c r="A1" s="1" t="inlineStr">
        <is>
          <t>BHARAT STEEL PLANT – MAINTENANCE HISTORY LOG</t>
        </is>
      </c>
    </row>
    <row r="2">
      <c r="A2" s="2" t="inlineStr">
        <is>
          <t>Equipment: Centrifugal Pumps PUMP-101 &amp; PUMP-102 | Location: Pump House B | Period: Jan 2022 – Oct 2024</t>
        </is>
      </c>
    </row>
    <row r="4" ht="28" customHeight="1">
      <c r="A4" s="3" t="inlineStr">
        <is>
          <t>WO Number</t>
        </is>
      </c>
      <c r="B4" s="3" t="inlineStr">
        <is>
          <t>Date</t>
        </is>
      </c>
      <c r="C4" s="3" t="inlineStr">
        <is>
          <t>Equipment Tag</t>
        </is>
      </c>
      <c r="D4" s="3" t="inlineStr">
        <is>
          <t>Type</t>
        </is>
      </c>
      <c r="E4" s="3" t="inlineStr">
        <is>
          <t>Description</t>
        </is>
      </c>
      <c r="F4" s="3" t="inlineStr">
        <is>
          <t>Technician</t>
        </is>
      </c>
      <c r="G4" s="3" t="inlineStr">
        <is>
          <t>Supervisor</t>
        </is>
      </c>
      <c r="H4" s="3" t="inlineStr">
        <is>
          <t>Parts Used</t>
        </is>
      </c>
      <c r="I4" s="3" t="inlineStr">
        <is>
          <t>Downtime (hrs)</t>
        </is>
      </c>
      <c r="J4" s="3" t="inlineStr">
        <is>
          <t>Cost (INR)</t>
        </is>
      </c>
      <c r="K4" s="3" t="inlineStr">
        <is>
          <t>OISD-117 Ref.</t>
        </is>
      </c>
      <c r="L4" s="3" t="inlineStr">
        <is>
          <t>Status</t>
        </is>
      </c>
    </row>
    <row r="5" ht="42" customHeight="1">
      <c r="A5" s="4" t="inlineStr">
        <is>
          <t>WO-2022-0110</t>
        </is>
      </c>
      <c r="B5" s="4" t="inlineStr">
        <is>
          <t>10-Jan-2022</t>
        </is>
      </c>
      <c r="C5" s="4" t="inlineStr">
        <is>
          <t>PUMP-101</t>
        </is>
      </c>
      <c r="D5" s="4" t="inlineStr">
        <is>
          <t>PM</t>
        </is>
      </c>
      <c r="E5" s="5" t="inlineStr">
        <is>
          <t>Annual overhaul: bearing replacement DE &amp; NDE, seal inspection, alignment check, wearing ring measurement</t>
        </is>
      </c>
      <c r="F5" s="4" t="inlineStr">
        <is>
          <t>Ramesh Kumar</t>
        </is>
      </c>
      <c r="G5" s="4" t="inlineStr">
        <is>
          <t>Ajay Mehta</t>
        </is>
      </c>
      <c r="H5" s="5" t="inlineStr">
        <is>
          <t>SKF-6309-2RS x1, SKF-6306-2RS x1, MSHC100-500G x1</t>
        </is>
      </c>
      <c r="I5" s="4" t="n">
        <v>8</v>
      </c>
      <c r="J5" s="4" t="n">
        <v>9800</v>
      </c>
      <c r="K5" s="4" t="inlineStr">
        <is>
          <t>Cl. 5.2, 6.1, 6.3</t>
        </is>
      </c>
      <c r="L5" s="6" t="inlineStr">
        <is>
          <t>CLOSED</t>
        </is>
      </c>
    </row>
    <row r="6" ht="42" customHeight="1">
      <c r="A6" s="7" t="inlineStr">
        <is>
          <t>WO-2022-0405</t>
        </is>
      </c>
      <c r="B6" s="7" t="inlineStr">
        <is>
          <t>05-Apr-2022</t>
        </is>
      </c>
      <c r="C6" s="7" t="inlineStr">
        <is>
          <t>PUMP-102</t>
        </is>
      </c>
      <c r="D6" s="7" t="inlineStr">
        <is>
          <t>CM</t>
        </is>
      </c>
      <c r="E6" s="8" t="inlineStr">
        <is>
          <t>Suction strainer choked – reduced flow. Strainer cleaned. No parts replaced.</t>
        </is>
      </c>
      <c r="F6" s="7" t="inlineStr">
        <is>
          <t>Vikram Singh</t>
        </is>
      </c>
      <c r="G6" s="7" t="inlineStr">
        <is>
          <t>Ajay Mehta</t>
        </is>
      </c>
      <c r="H6" s="8" t="inlineStr">
        <is>
          <t>None</t>
        </is>
      </c>
      <c r="I6" s="7" t="n">
        <v>2</v>
      </c>
      <c r="J6" s="7" t="n">
        <v>500</v>
      </c>
      <c r="K6" s="7" t="inlineStr">
        <is>
          <t>Cl. 5.1</t>
        </is>
      </c>
      <c r="L6" s="6" t="inlineStr">
        <is>
          <t>CLOSED</t>
        </is>
      </c>
    </row>
    <row r="7" ht="42" customHeight="1">
      <c r="A7" s="4" t="inlineStr">
        <is>
          <t>WO-2022-0918</t>
        </is>
      </c>
      <c r="B7" s="4" t="inlineStr">
        <is>
          <t>18-Sep-2022</t>
        </is>
      </c>
      <c r="C7" s="4" t="inlineStr">
        <is>
          <t>PUMP-101</t>
        </is>
      </c>
      <c r="D7" s="4" t="inlineStr">
        <is>
          <t>PM</t>
        </is>
      </c>
      <c r="E7" s="5" t="inlineStr">
        <is>
          <t>Quarterly inspection: vibration check, bearing temp check, seal check. All OK. Lubrication done.</t>
        </is>
      </c>
      <c r="F7" s="4" t="inlineStr">
        <is>
          <t>Ramesh Kumar</t>
        </is>
      </c>
      <c r="G7" s="4" t="inlineStr">
        <is>
          <t>S. Patil</t>
        </is>
      </c>
      <c r="H7" s="5" t="inlineStr">
        <is>
          <t>MSHC100-500G x1</t>
        </is>
      </c>
      <c r="I7" s="4" t="n">
        <v>1</v>
      </c>
      <c r="J7" s="4" t="n">
        <v>850</v>
      </c>
      <c r="K7" s="4" t="inlineStr">
        <is>
          <t>Cl. 5.2, 6.1</t>
        </is>
      </c>
      <c r="L7" s="6" t="inlineStr">
        <is>
          <t>CLOSED</t>
        </is>
      </c>
    </row>
    <row r="8" ht="42" customHeight="1">
      <c r="A8" s="7" t="inlineStr">
        <is>
          <t>WO-2022-1201</t>
        </is>
      </c>
      <c r="B8" s="7" t="inlineStr">
        <is>
          <t>01-Dec-2022</t>
        </is>
      </c>
      <c r="C8" s="7" t="inlineStr">
        <is>
          <t>PUMP-102</t>
        </is>
      </c>
      <c r="D8" s="7" t="inlineStr">
        <is>
          <t>PM</t>
        </is>
      </c>
      <c r="E8" s="8" t="inlineStr">
        <is>
          <t>Quarterly inspection: vibration 2.1 mm/sec (within limit). Seal weeping minor – logged. Lubrication done.</t>
        </is>
      </c>
      <c r="F8" s="7" t="inlineStr">
        <is>
          <t>Vikram Singh</t>
        </is>
      </c>
      <c r="G8" s="7" t="inlineStr">
        <is>
          <t>Ajay Mehta</t>
        </is>
      </c>
      <c r="H8" s="8" t="inlineStr">
        <is>
          <t>MSHC100-500G x1</t>
        </is>
      </c>
      <c r="I8" s="7" t="n">
        <v>1</v>
      </c>
      <c r="J8" s="7" t="n">
        <v>850</v>
      </c>
      <c r="K8" s="7" t="inlineStr">
        <is>
          <t>Cl. 5.2, 6.3</t>
        </is>
      </c>
      <c r="L8" s="6" t="inlineStr">
        <is>
          <t>CLOSED</t>
        </is>
      </c>
    </row>
    <row r="9" ht="42" customHeight="1">
      <c r="A9" s="4" t="inlineStr">
        <is>
          <t>WO-2023-0115</t>
        </is>
      </c>
      <c r="B9" s="4" t="inlineStr">
        <is>
          <t>15-Jan-2023</t>
        </is>
      </c>
      <c r="C9" s="4" t="inlineStr">
        <is>
          <t>PUMP-101</t>
        </is>
      </c>
      <c r="D9" s="4" t="inlineStr">
        <is>
          <t>PM</t>
        </is>
      </c>
      <c r="E9" s="5" t="inlineStr">
        <is>
          <t>Annual overhaul: bearings inspected (acceptable), seal inspected (good condition), alignment verified TIR 0.04mm.</t>
        </is>
      </c>
      <c r="F9" s="4" t="inlineStr">
        <is>
          <t>Ramesh Kumar</t>
        </is>
      </c>
      <c r="G9" s="4" t="inlineStr">
        <is>
          <t>Ajay Mehta</t>
        </is>
      </c>
      <c r="H9" s="5" t="inlineStr">
        <is>
          <t>GKT-DN65-SW x2, MSHC100-500G x1</t>
        </is>
      </c>
      <c r="I9" s="4" t="n">
        <v>6</v>
      </c>
      <c r="J9" s="4" t="n">
        <v>2950</v>
      </c>
      <c r="K9" s="4" t="inlineStr">
        <is>
          <t>Cl. 5.2, 6.1, 6.3</t>
        </is>
      </c>
      <c r="L9" s="6" t="inlineStr">
        <is>
          <t>CLOSED</t>
        </is>
      </c>
    </row>
    <row r="10" ht="42" customHeight="1">
      <c r="A10" s="7" t="inlineStr">
        <is>
          <t>WO-2023-0320</t>
        </is>
      </c>
      <c r="B10" s="7" t="inlineStr">
        <is>
          <t>20-Mar-2023</t>
        </is>
      </c>
      <c r="C10" s="7" t="inlineStr">
        <is>
          <t>PUMP-102</t>
        </is>
      </c>
      <c r="D10" s="7" t="inlineStr">
        <is>
          <t>CM</t>
        </is>
      </c>
      <c r="E10" s="8" t="inlineStr">
        <is>
          <t>Coupling grid element cracked – abnormal noise. Grid coupling replaced. Alignment rechecked TIR 0.03mm.</t>
        </is>
      </c>
      <c r="F10" s="7" t="inlineStr">
        <is>
          <t>Ramesh Kumar</t>
        </is>
      </c>
      <c r="G10" s="7" t="inlineStr">
        <is>
          <t>Ajay Mehta</t>
        </is>
      </c>
      <c r="H10" s="8" t="inlineStr">
        <is>
          <t>COUP-GRID-KBL x1</t>
        </is>
      </c>
      <c r="I10" s="7" t="n">
        <v>4</v>
      </c>
      <c r="J10" s="7" t="n">
        <v>12000</v>
      </c>
      <c r="K10" s="7" t="inlineStr">
        <is>
          <t>Cl. 7.4</t>
        </is>
      </c>
      <c r="L10" s="6" t="inlineStr">
        <is>
          <t>CLOSED</t>
        </is>
      </c>
    </row>
    <row r="11" ht="42" customHeight="1">
      <c r="A11" s="4" t="inlineStr">
        <is>
          <t>WO-2023-0601</t>
        </is>
      </c>
      <c r="B11" s="4" t="inlineStr">
        <is>
          <t>01-Jun-2023</t>
        </is>
      </c>
      <c r="C11" s="4" t="inlineStr">
        <is>
          <t>PUMP-101</t>
        </is>
      </c>
      <c r="D11" s="4" t="inlineStr">
        <is>
          <t>PM</t>
        </is>
      </c>
      <c r="E11" s="5" t="inlineStr">
        <is>
          <t>Quarterly inspection: vibration 2.3 mm/sec – slightly elevated. Bearing temp Amb+15°C – acceptable. Greased.</t>
        </is>
      </c>
      <c r="F11" s="4" t="inlineStr">
        <is>
          <t>Vikram Singh</t>
        </is>
      </c>
      <c r="G11" s="4" t="inlineStr">
        <is>
          <t>Ajay Mehta</t>
        </is>
      </c>
      <c r="H11" s="5" t="inlineStr">
        <is>
          <t>MSHC100-500G x1</t>
        </is>
      </c>
      <c r="I11" s="4" t="n">
        <v>1</v>
      </c>
      <c r="J11" s="4" t="n">
        <v>850</v>
      </c>
      <c r="K11" s="4" t="inlineStr">
        <is>
          <t>Cl. 5.2, 6.1</t>
        </is>
      </c>
      <c r="L11" s="6" t="inlineStr">
        <is>
          <t>CLOSED</t>
        </is>
      </c>
    </row>
    <row r="12" ht="42" customHeight="1">
      <c r="A12" s="7" t="inlineStr">
        <is>
          <t>WO-2023-0622</t>
        </is>
      </c>
      <c r="B12" s="7" t="inlineStr">
        <is>
          <t>22-Jun-2023</t>
        </is>
      </c>
      <c r="C12" s="7" t="inlineStr">
        <is>
          <t>PUMP-101</t>
        </is>
      </c>
      <c r="D12" s="7" t="inlineStr">
        <is>
          <t>CM</t>
        </is>
      </c>
      <c r="E12" s="8" t="inlineStr">
        <is>
          <t>Vibration follow-up inspection after WO-2023-0601. Identified minor impeller wear. Impeller cleaned and balanced.</t>
        </is>
      </c>
      <c r="F12" s="7" t="inlineStr">
        <is>
          <t>Ramesh Kumar</t>
        </is>
      </c>
      <c r="G12" s="7" t="inlineStr">
        <is>
          <t>R.K. Sharma</t>
        </is>
      </c>
      <c r="H12" s="8" t="inlineStr">
        <is>
          <t>None</t>
        </is>
      </c>
      <c r="I12" s="7" t="n">
        <v>6</v>
      </c>
      <c r="J12" s="7" t="n">
        <v>2000</v>
      </c>
      <c r="K12" s="7" t="inlineStr">
        <is>
          <t>Cl. 5.2</t>
        </is>
      </c>
      <c r="L12" s="6" t="inlineStr">
        <is>
          <t>CLOSED</t>
        </is>
      </c>
    </row>
    <row r="13" ht="42" customHeight="1">
      <c r="A13" s="4" t="inlineStr">
        <is>
          <t>WO-2023-0915</t>
        </is>
      </c>
      <c r="B13" s="4" t="inlineStr">
        <is>
          <t>15-Sep-2023</t>
        </is>
      </c>
      <c r="C13" s="4" t="inlineStr">
        <is>
          <t>PUMP-102</t>
        </is>
      </c>
      <c r="D13" s="4" t="inlineStr">
        <is>
          <t>PM</t>
        </is>
      </c>
      <c r="E13" s="5" t="inlineStr">
        <is>
          <t>Quarterly inspection: all parameters normal. Vibration 1.9 mm/sec. Seal clean, no leakage. Lubrication done.</t>
        </is>
      </c>
      <c r="F13" s="4" t="inlineStr">
        <is>
          <t>Vikram Singh</t>
        </is>
      </c>
      <c r="G13" s="4" t="inlineStr">
        <is>
          <t>S. Patil</t>
        </is>
      </c>
      <c r="H13" s="5" t="inlineStr">
        <is>
          <t>MSHC100-500G x1</t>
        </is>
      </c>
      <c r="I13" s="4" t="n">
        <v>1</v>
      </c>
      <c r="J13" s="4" t="n">
        <v>850</v>
      </c>
      <c r="K13" s="4" t="inlineStr">
        <is>
          <t>Cl. 5.2, 6.1, 6.3</t>
        </is>
      </c>
      <c r="L13" s="6" t="inlineStr">
        <is>
          <t>CLOSED</t>
        </is>
      </c>
    </row>
    <row r="14" ht="42" customHeight="1">
      <c r="A14" s="7" t="inlineStr">
        <is>
          <t>WO-2023-1210</t>
        </is>
      </c>
      <c r="B14" s="7" t="inlineStr">
        <is>
          <t>10-Dec-2023</t>
        </is>
      </c>
      <c r="C14" s="7" t="inlineStr">
        <is>
          <t>PUMP-101</t>
        </is>
      </c>
      <c r="D14" s="7" t="inlineStr">
        <is>
          <t>PM</t>
        </is>
      </c>
      <c r="E14" s="8" t="inlineStr">
        <is>
          <t>Annual PM: NDE bearing worn but acceptable (L10 remaining ~40%). Flagged for next PM replacement. Seal OK.</t>
        </is>
      </c>
      <c r="F14" s="7" t="inlineStr">
        <is>
          <t>Ramesh Kumar</t>
        </is>
      </c>
      <c r="G14" s="7" t="inlineStr">
        <is>
          <t>Ajay Mehta</t>
        </is>
      </c>
      <c r="H14" s="8" t="inlineStr">
        <is>
          <t>GKT-DN65-SW x2, MSHC100-500G x1</t>
        </is>
      </c>
      <c r="I14" s="7" t="n">
        <v>5</v>
      </c>
      <c r="J14" s="7" t="n">
        <v>2950</v>
      </c>
      <c r="K14" s="7" t="inlineStr">
        <is>
          <t>Cl. 5.2, 6.1, 6.3</t>
        </is>
      </c>
      <c r="L14" s="6" t="inlineStr">
        <is>
          <t>CLOSED</t>
        </is>
      </c>
    </row>
    <row r="15" ht="42" customHeight="1">
      <c r="A15" s="4" t="inlineStr">
        <is>
          <t>WO-2024-0312</t>
        </is>
      </c>
      <c r="B15" s="4" t="inlineStr">
        <is>
          <t>12-Mar-2024</t>
        </is>
      </c>
      <c r="C15" s="4" t="inlineStr">
        <is>
          <t>PUMP-101</t>
        </is>
      </c>
      <c r="D15" s="4" t="inlineStr">
        <is>
          <t>CM</t>
        </is>
      </c>
      <c r="E15" s="5" t="inlineStr">
        <is>
          <t>DE bearing failed (pitting, cage fracture). Vibration: 6.2 mm/sec trigger. Bearing replaced. Post-repair: 1.8 mm/sec.</t>
        </is>
      </c>
      <c r="F15" s="4" t="inlineStr">
        <is>
          <t>Ramesh Kumar</t>
        </is>
      </c>
      <c r="G15" s="4" t="inlineStr">
        <is>
          <t>Ajay Mehta</t>
        </is>
      </c>
      <c r="H15" s="5" t="inlineStr">
        <is>
          <t>SKF-6309-2RS x1, GKT-DN65-SW x2, MSHC100-500G x1</t>
        </is>
      </c>
      <c r="I15" s="4" t="n">
        <v>9</v>
      </c>
      <c r="J15" s="4" t="n">
        <v>5500</v>
      </c>
      <c r="K15" s="4" t="inlineStr">
        <is>
          <t>Cl. 5.2, 6.1</t>
        </is>
      </c>
      <c r="L15" s="6" t="inlineStr">
        <is>
          <t>CLOSED</t>
        </is>
      </c>
    </row>
    <row r="16" ht="42" customHeight="1">
      <c r="A16" s="7" t="inlineStr">
        <is>
          <t>WO-2024-0618</t>
        </is>
      </c>
      <c r="B16" s="7" t="inlineStr">
        <is>
          <t>18-Jun-2024</t>
        </is>
      </c>
      <c r="C16" s="7" t="inlineStr">
        <is>
          <t>PUMP-102</t>
        </is>
      </c>
      <c r="D16" s="7" t="inlineStr">
        <is>
          <t>PM/CM</t>
        </is>
      </c>
      <c r="E16" s="8" t="inlineStr">
        <is>
          <t>Planned shutdown: Mechanical seal replaced (dry-run damage per NMR-2024-0208), NDE bearing replaced. Wearing ring borderline.</t>
        </is>
      </c>
      <c r="F16" s="7" t="inlineStr">
        <is>
          <t>Vikram Singh</t>
        </is>
      </c>
      <c r="G16" s="7" t="inlineStr">
        <is>
          <t>Ajay Mehta</t>
        </is>
      </c>
      <c r="H16" s="8" t="inlineStr">
        <is>
          <t>FSL-MX-DN65 x1, SKF-6306-2RS x1, MSHC100-500G x1</t>
        </is>
      </c>
      <c r="I16" s="7" t="n">
        <v>10</v>
      </c>
      <c r="J16" s="7" t="n">
        <v>33050</v>
      </c>
      <c r="K16" s="7" t="inlineStr">
        <is>
          <t>Cl. 6.3, 6.1</t>
        </is>
      </c>
      <c r="L16" s="6" t="inlineStr">
        <is>
          <t>CLOSED</t>
        </is>
      </c>
    </row>
    <row r="17" ht="42" customHeight="1">
      <c r="A17" s="4" t="inlineStr">
        <is>
          <t>INS-2024-Q3</t>
        </is>
      </c>
      <c r="B17" s="4" t="inlineStr">
        <is>
          <t>22-Sep-2024</t>
        </is>
      </c>
      <c r="C17" s="4" t="inlineStr">
        <is>
          <t>PUMP-101, PUMP-102</t>
        </is>
      </c>
      <c r="D17" s="4" t="inlineStr">
        <is>
          <t>INSP</t>
        </is>
      </c>
      <c r="E17" s="5" t="inlineStr">
        <is>
          <t>Q3 Running Inspection: all parameters satisfactory. PUMP-102 wearing ring at 0.48mm (borderline). Base plate corrosion noted.</t>
        </is>
      </c>
      <c r="F17" s="4" t="inlineStr">
        <is>
          <t>Prasad Iyer</t>
        </is>
      </c>
      <c r="G17" s="4" t="inlineStr">
        <is>
          <t>Ajay Mehta</t>
        </is>
      </c>
      <c r="H17" s="5" t="inlineStr">
        <is>
          <t>None</t>
        </is>
      </c>
      <c r="I17" s="4" t="n">
        <v>2</v>
      </c>
      <c r="J17" s="4" t="n">
        <v>0</v>
      </c>
      <c r="K17" s="4" t="inlineStr">
        <is>
          <t>Cl. 5.2, 6.1, 6.3</t>
        </is>
      </c>
      <c r="L17" s="6" t="inlineStr">
        <is>
          <t>CLOSED</t>
        </is>
      </c>
    </row>
    <row r="18" ht="42" customHeight="1">
      <c r="A18" s="7" t="inlineStr">
        <is>
          <t>WO-2024-1201</t>
        </is>
      </c>
      <c r="B18" s="7" t="inlineStr">
        <is>
          <t>01-Dec-2024</t>
        </is>
      </c>
      <c r="C18" s="7" t="inlineStr">
        <is>
          <t>PUMP-101, PUMP-102</t>
        </is>
      </c>
      <c r="D18" s="7" t="inlineStr">
        <is>
          <t>PM</t>
        </is>
      </c>
      <c r="E18" s="8" t="inlineStr">
        <is>
          <t>Q4 Planned PM: wearing ring replacement PUMP-102, lubrication both pumps, full inspection.</t>
        </is>
      </c>
      <c r="F18" s="7" t="inlineStr">
        <is>
          <t>TBD</t>
        </is>
      </c>
      <c r="G18" s="7" t="inlineStr">
        <is>
          <t>Ajay Mehta</t>
        </is>
      </c>
      <c r="H18" s="8" t="inlineStr">
        <is>
          <t>WR-SS316-D65 x2, WR-SS316-D65-I x2, MSHC100-500G x2</t>
        </is>
      </c>
      <c r="I18" s="7" t="n">
        <v>8</v>
      </c>
      <c r="J18" s="7" t="n">
        <v>18450</v>
      </c>
      <c r="K18" s="7" t="inlineStr">
        <is>
          <t>Cl. 5.2, 6.1, 6.3</t>
        </is>
      </c>
      <c r="L18" s="9" t="inlineStr">
        <is>
          <t>PLANNED</t>
        </is>
      </c>
    </row>
    <row r="20">
      <c r="A20" s="10" t="inlineStr">
        <is>
          <t>SUMMARY</t>
        </is>
      </c>
    </row>
    <row r="21">
      <c r="A21" s="11" t="inlineStr">
        <is>
          <t>Total WOs</t>
        </is>
      </c>
      <c r="B21" s="12">
        <f>COUNTA(A5:A18)</f>
        <v/>
      </c>
    </row>
    <row r="22">
      <c r="A22" s="11" t="inlineStr">
        <is>
          <t>Total Cost (INR)</t>
        </is>
      </c>
      <c r="B22" s="13">
        <f>SUM(J5:J18)</f>
        <v/>
      </c>
    </row>
    <row r="23">
      <c r="A23" s="11" t="inlineStr">
        <is>
          <t>Total Downtime (hrs)</t>
        </is>
      </c>
      <c r="B23" s="12">
        <f>SUM(I5:I18)</f>
        <v/>
      </c>
    </row>
  </sheetData>
  <mergeCells count="3">
    <mergeCell ref="A2:L2"/>
    <mergeCell ref="A20:C20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14" customWidth="1" min="9" max="9"/>
    <col width="40" customWidth="1" min="10" max="10"/>
  </cols>
  <sheetData>
    <row r="1">
      <c r="A1" s="14" t="inlineStr">
        <is>
          <t>BHARAT STEEL PLANT – PUMP PERFORMANCE &amp; VIBRATION MONITORING LOG</t>
        </is>
      </c>
    </row>
    <row r="2">
      <c r="A2" s="15" t="inlineStr">
        <is>
          <t>Pump House B | Measurement Frequency: Monthly (Running Equipment Only) | Instrument: Fluke 810 Vibration Analyser</t>
        </is>
      </c>
    </row>
    <row r="4" ht="30" customHeight="1">
      <c r="A4" s="3" t="inlineStr">
        <is>
          <t>Date</t>
        </is>
      </c>
      <c r="B4" s="3" t="inlineStr">
        <is>
          <t>Equipment</t>
        </is>
      </c>
      <c r="C4" s="3" t="inlineStr">
        <is>
          <t>Mode</t>
        </is>
      </c>
      <c r="D4" s="3" t="inlineStr">
        <is>
          <t>Vibration DE (mm/sec)</t>
        </is>
      </c>
      <c r="E4" s="3" t="inlineStr">
        <is>
          <t>Vibration NDE (mm/sec)</t>
        </is>
      </c>
      <c r="F4" s="3" t="inlineStr">
        <is>
          <t>Bearing Temp DE (°C rise)</t>
        </is>
      </c>
      <c r="G4" s="3" t="inlineStr">
        <is>
          <t>Bearing Temp NDE (°C rise)</t>
        </is>
      </c>
      <c r="H4" s="3" t="inlineStr">
        <is>
          <t>Discharge Press. (bar)</t>
        </is>
      </c>
      <c r="I4" s="3" t="inlineStr">
        <is>
          <t>Motor Current (A)</t>
        </is>
      </c>
      <c r="J4" s="3" t="inlineStr">
        <is>
          <t>Remarks</t>
        </is>
      </c>
    </row>
    <row r="5" ht="26" customHeight="1">
      <c r="A5" s="4" t="inlineStr">
        <is>
          <t>10-Jan-2023</t>
        </is>
      </c>
      <c r="B5" s="4" t="inlineStr">
        <is>
          <t>PUMP-101</t>
        </is>
      </c>
      <c r="C5" s="4" t="inlineStr">
        <is>
          <t>DUTY</t>
        </is>
      </c>
      <c r="D5" s="16" t="n">
        <v>1.9</v>
      </c>
      <c r="E5" s="16" t="n">
        <v>1.7</v>
      </c>
      <c r="F5" s="4" t="n">
        <v>12</v>
      </c>
      <c r="G5" s="4" t="n">
        <v>13</v>
      </c>
      <c r="H5" s="4" t="n">
        <v>6.7</v>
      </c>
      <c r="I5" s="4" t="n">
        <v>11.1</v>
      </c>
      <c r="J5" s="5" t="inlineStr">
        <is>
          <t>Normal. Post annual PM.</t>
        </is>
      </c>
    </row>
    <row r="6" ht="26" customHeight="1">
      <c r="A6" s="7" t="inlineStr">
        <is>
          <t>10-Jan-2023</t>
        </is>
      </c>
      <c r="B6" s="7" t="inlineStr">
        <is>
          <t>PUMP-102</t>
        </is>
      </c>
      <c r="C6" s="7" t="inlineStr">
        <is>
          <t>STANDBY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8" t="inlineStr">
        <is>
          <t>Standby – not running</t>
        </is>
      </c>
    </row>
    <row r="7" ht="26" customHeight="1">
      <c r="A7" s="4" t="inlineStr">
        <is>
          <t>10-Feb-2023</t>
        </is>
      </c>
      <c r="B7" s="4" t="inlineStr">
        <is>
          <t>PUMP-101</t>
        </is>
      </c>
      <c r="C7" s="4" t="inlineStr">
        <is>
          <t>DUTY</t>
        </is>
      </c>
      <c r="D7" s="16" t="n">
        <v>2</v>
      </c>
      <c r="E7" s="16" t="n">
        <v>1.8</v>
      </c>
      <c r="F7" s="4" t="n">
        <v>13</v>
      </c>
      <c r="G7" s="4" t="n">
        <v>14</v>
      </c>
      <c r="H7" s="4" t="n">
        <v>6.8</v>
      </c>
      <c r="I7" s="4" t="n">
        <v>11.3</v>
      </c>
      <c r="J7" s="5" t="inlineStr">
        <is>
          <t>Normal</t>
        </is>
      </c>
    </row>
    <row r="8" ht="26" customHeight="1">
      <c r="A8" s="7" t="inlineStr">
        <is>
          <t>10-Mar-2023</t>
        </is>
      </c>
      <c r="B8" s="7" t="inlineStr">
        <is>
          <t>PUMP-101</t>
        </is>
      </c>
      <c r="C8" s="7" t="inlineStr">
        <is>
          <t>DUTY</t>
        </is>
      </c>
      <c r="D8" s="16" t="n">
        <v>2.1</v>
      </c>
      <c r="E8" s="16" t="n">
        <v>1.9</v>
      </c>
      <c r="F8" s="7" t="n">
        <v>14</v>
      </c>
      <c r="G8" s="7" t="n">
        <v>14</v>
      </c>
      <c r="H8" s="7" t="n">
        <v>6.7</v>
      </c>
      <c r="I8" s="7" t="n">
        <v>11.2</v>
      </c>
      <c r="J8" s="8" t="inlineStr">
        <is>
          <t>Vibration slightly higher – monitor</t>
        </is>
      </c>
    </row>
    <row r="9" ht="26" customHeight="1">
      <c r="A9" s="4" t="inlineStr">
        <is>
          <t>10-Apr-2023</t>
        </is>
      </c>
      <c r="B9" s="4" t="inlineStr">
        <is>
          <t>PUMP-101</t>
        </is>
      </c>
      <c r="C9" s="4" t="inlineStr">
        <is>
          <t>DUTY</t>
        </is>
      </c>
      <c r="D9" s="9" t="n">
        <v>2.3</v>
      </c>
      <c r="E9" s="16" t="n">
        <v>2</v>
      </c>
      <c r="F9" s="4" t="n">
        <v>14</v>
      </c>
      <c r="G9" s="4" t="n">
        <v>15</v>
      </c>
      <c r="H9" s="4" t="n">
        <v>6.6</v>
      </c>
      <c r="I9" s="4" t="n">
        <v>11.4</v>
      </c>
      <c r="J9" s="5" t="inlineStr">
        <is>
          <t>Vibration elevated. WO raised WO-2023-0601.</t>
        </is>
      </c>
    </row>
    <row r="10" ht="26" customHeight="1">
      <c r="A10" s="7" t="inlineStr">
        <is>
          <t>22-Jun-2023</t>
        </is>
      </c>
      <c r="B10" s="7" t="inlineStr">
        <is>
          <t>PUMP-101</t>
        </is>
      </c>
      <c r="C10" s="7" t="inlineStr">
        <is>
          <t>DUTY</t>
        </is>
      </c>
      <c r="D10" s="16" t="n">
        <v>1.9</v>
      </c>
      <c r="E10" s="16" t="n">
        <v>1.8</v>
      </c>
      <c r="F10" s="7" t="n">
        <v>13</v>
      </c>
      <c r="G10" s="7" t="n">
        <v>13</v>
      </c>
      <c r="H10" s="7" t="n">
        <v>6.7</v>
      </c>
      <c r="I10" s="7" t="n">
        <v>11.1</v>
      </c>
      <c r="J10" s="8" t="inlineStr">
        <is>
          <t>Post impeller cleaning WO-2023-0622. Normal.</t>
        </is>
      </c>
    </row>
    <row r="11" ht="26" customHeight="1">
      <c r="A11" s="4" t="inlineStr">
        <is>
          <t>10-Jul-2023</t>
        </is>
      </c>
      <c r="B11" s="4" t="inlineStr">
        <is>
          <t>PUMP-101</t>
        </is>
      </c>
      <c r="C11" s="4" t="inlineStr">
        <is>
          <t>DUTY</t>
        </is>
      </c>
      <c r="D11" s="16" t="n">
        <v>1.8</v>
      </c>
      <c r="E11" s="16" t="n">
        <v>1.7</v>
      </c>
      <c r="F11" s="4" t="n">
        <v>12</v>
      </c>
      <c r="G11" s="4" t="n">
        <v>13</v>
      </c>
      <c r="H11" s="4" t="n">
        <v>6.8</v>
      </c>
      <c r="I11" s="4" t="n">
        <v>11</v>
      </c>
      <c r="J11" s="5" t="inlineStr">
        <is>
          <t>Normal</t>
        </is>
      </c>
    </row>
    <row r="12" ht="26" customHeight="1">
      <c r="A12" s="7" t="inlineStr">
        <is>
          <t>10-Aug-2023</t>
        </is>
      </c>
      <c r="B12" s="7" t="inlineStr">
        <is>
          <t>PUMP-101</t>
        </is>
      </c>
      <c r="C12" s="7" t="inlineStr">
        <is>
          <t>DUTY</t>
        </is>
      </c>
      <c r="D12" s="16" t="n">
        <v>1.9</v>
      </c>
      <c r="E12" s="16" t="n">
        <v>1.8</v>
      </c>
      <c r="F12" s="7" t="n">
        <v>13</v>
      </c>
      <c r="G12" s="7" t="n">
        <v>13</v>
      </c>
      <c r="H12" s="7" t="n">
        <v>6.7</v>
      </c>
      <c r="I12" s="7" t="n">
        <v>11.1</v>
      </c>
      <c r="J12" s="8" t="inlineStr">
        <is>
          <t>Normal</t>
        </is>
      </c>
    </row>
    <row r="13" ht="26" customHeight="1">
      <c r="A13" s="4" t="inlineStr">
        <is>
          <t>15-Sep-2023</t>
        </is>
      </c>
      <c r="B13" s="4" t="inlineStr">
        <is>
          <t>PUMP-101</t>
        </is>
      </c>
      <c r="C13" s="4" t="inlineStr">
        <is>
          <t>DUTY</t>
        </is>
      </c>
      <c r="D13" s="16" t="n">
        <v>2</v>
      </c>
      <c r="E13" s="16" t="n">
        <v>1.8</v>
      </c>
      <c r="F13" s="4" t="n">
        <v>13</v>
      </c>
      <c r="G13" s="4" t="n">
        <v>14</v>
      </c>
      <c r="H13" s="4" t="n">
        <v>6.7</v>
      </c>
      <c r="I13" s="4" t="n">
        <v>11.2</v>
      </c>
      <c r="J13" s="5" t="inlineStr">
        <is>
          <t>Normal</t>
        </is>
      </c>
    </row>
    <row r="14" ht="26" customHeight="1">
      <c r="A14" s="7" t="inlineStr">
        <is>
          <t>10-Oct-2023</t>
        </is>
      </c>
      <c r="B14" s="7" t="inlineStr">
        <is>
          <t>PUMP-101</t>
        </is>
      </c>
      <c r="C14" s="7" t="inlineStr">
        <is>
          <t>DUTY</t>
        </is>
      </c>
      <c r="D14" s="16" t="n">
        <v>2.1</v>
      </c>
      <c r="E14" s="16" t="n">
        <v>1.9</v>
      </c>
      <c r="F14" s="7" t="n">
        <v>13</v>
      </c>
      <c r="G14" s="7" t="n">
        <v>14</v>
      </c>
      <c r="H14" s="7" t="n">
        <v>6.8</v>
      </c>
      <c r="I14" s="7" t="n">
        <v>11.3</v>
      </c>
      <c r="J14" s="8" t="inlineStr">
        <is>
          <t>Normal</t>
        </is>
      </c>
    </row>
    <row r="15" ht="26" customHeight="1">
      <c r="A15" s="4" t="inlineStr">
        <is>
          <t>10-Nov-2023</t>
        </is>
      </c>
      <c r="B15" s="4" t="inlineStr">
        <is>
          <t>PUMP-101</t>
        </is>
      </c>
      <c r="C15" s="4" t="inlineStr">
        <is>
          <t>DUTY</t>
        </is>
      </c>
      <c r="D15" s="9" t="n">
        <v>2.3</v>
      </c>
      <c r="E15" s="16" t="n">
        <v>2.1</v>
      </c>
      <c r="F15" s="4" t="n">
        <v>15</v>
      </c>
      <c r="G15" s="4" t="n">
        <v>15</v>
      </c>
      <c r="H15" s="4" t="n">
        <v>6.6</v>
      </c>
      <c r="I15" s="4" t="n">
        <v>11.4</v>
      </c>
      <c r="J15" s="5" t="inlineStr">
        <is>
          <t>Vibration trend increasing. Watch bearing.</t>
        </is>
      </c>
    </row>
    <row r="16" ht="26" customHeight="1">
      <c r="A16" s="7" t="inlineStr">
        <is>
          <t>10-Dec-2023</t>
        </is>
      </c>
      <c r="B16" s="7" t="inlineStr">
        <is>
          <t>PUMP-101</t>
        </is>
      </c>
      <c r="C16" s="7" t="inlineStr">
        <is>
          <t>DUTY</t>
        </is>
      </c>
      <c r="D16" s="9" t="n">
        <v>2.5</v>
      </c>
      <c r="E16" s="16" t="n">
        <v>2.2</v>
      </c>
      <c r="F16" s="7" t="n">
        <v>16</v>
      </c>
      <c r="G16" s="7" t="n">
        <v>16</v>
      </c>
      <c r="H16" s="7" t="n">
        <v>6.5</v>
      </c>
      <c r="I16" s="7" t="n">
        <v>11.5</v>
      </c>
      <c r="J16" s="8" t="inlineStr">
        <is>
          <t>DE bearing wear suspected. Annual PM done.</t>
        </is>
      </c>
    </row>
    <row r="17" ht="26" customHeight="1">
      <c r="A17" s="4" t="inlineStr">
        <is>
          <t>10-Jan-2024</t>
        </is>
      </c>
      <c r="B17" s="4" t="inlineStr">
        <is>
          <t>PUMP-101</t>
        </is>
      </c>
      <c r="C17" s="4" t="inlineStr">
        <is>
          <t>DUTY</t>
        </is>
      </c>
      <c r="D17" s="17" t="n">
        <v>3.1</v>
      </c>
      <c r="E17" s="9" t="n">
        <v>2.4</v>
      </c>
      <c r="F17" s="4" t="n">
        <v>17</v>
      </c>
      <c r="G17" s="4" t="n">
        <v>16</v>
      </c>
      <c r="H17" s="4" t="n">
        <v>6.4</v>
      </c>
      <c r="I17" s="4" t="n">
        <v>11.7</v>
      </c>
      <c r="J17" s="5" t="inlineStr">
        <is>
          <t>⚠ DE vibration above 2.8 limit. WO raised.</t>
        </is>
      </c>
    </row>
    <row r="18" ht="26" customHeight="1">
      <c r="A18" s="7" t="inlineStr">
        <is>
          <t>10-Jan-2024</t>
        </is>
      </c>
      <c r="B18" s="7" t="inlineStr">
        <is>
          <t>PUMP-102</t>
        </is>
      </c>
      <c r="C18" s="7" t="inlineStr">
        <is>
          <t>DUTY</t>
        </is>
      </c>
      <c r="D18" s="16" t="n">
        <v>1.8</v>
      </c>
      <c r="E18" s="16" t="n">
        <v>1.7</v>
      </c>
      <c r="F18" s="7" t="n">
        <v>12</v>
      </c>
      <c r="G18" s="7" t="n">
        <v>12</v>
      </c>
      <c r="H18" s="7" t="n">
        <v>6.8</v>
      </c>
      <c r="I18" s="7" t="n">
        <v>11</v>
      </c>
      <c r="J18" s="8" t="inlineStr">
        <is>
          <t>PUMP-102 switched to duty 12-Jan.</t>
        </is>
      </c>
    </row>
    <row r="19" ht="26" customHeight="1">
      <c r="A19" s="4" t="inlineStr">
        <is>
          <t>10-Feb-2024</t>
        </is>
      </c>
      <c r="B19" s="4" t="inlineStr">
        <is>
          <t>PUMP-101</t>
        </is>
      </c>
      <c r="C19" s="4" t="inlineStr">
        <is>
          <t>SHUTDOWN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5" t="inlineStr">
        <is>
          <t>Shutdown after vibration exceedance. Awaiting repair.</t>
        </is>
      </c>
    </row>
    <row r="20" ht="26" customHeight="1">
      <c r="A20" s="7" t="inlineStr">
        <is>
          <t>10-Feb-2024</t>
        </is>
      </c>
      <c r="B20" s="7" t="inlineStr">
        <is>
          <t>PUMP-102</t>
        </is>
      </c>
      <c r="C20" s="7" t="inlineStr">
        <is>
          <t>DUTY</t>
        </is>
      </c>
      <c r="D20" s="16" t="n">
        <v>1.7</v>
      </c>
      <c r="E20" s="16" t="n">
        <v>1.6</v>
      </c>
      <c r="F20" s="7" t="n">
        <v>12</v>
      </c>
      <c r="G20" s="7" t="n">
        <v>11</v>
      </c>
      <c r="H20" s="7" t="n">
        <v>6.9</v>
      </c>
      <c r="I20" s="7" t="n">
        <v>10.9</v>
      </c>
      <c r="J20" s="8" t="inlineStr">
        <is>
          <t>Duty. Near-miss NMR-2024-0208 occurred 08-Feb.</t>
        </is>
      </c>
    </row>
    <row r="21" ht="26" customHeight="1">
      <c r="A21" s="4" t="inlineStr">
        <is>
          <t>12-Mar-2024</t>
        </is>
      </c>
      <c r="B21" s="4" t="inlineStr">
        <is>
          <t>PUMP-101</t>
        </is>
      </c>
      <c r="C21" s="4" t="inlineStr">
        <is>
          <t>DUTY</t>
        </is>
      </c>
      <c r="D21" s="16" t="n">
        <v>1.8</v>
      </c>
      <c r="E21" s="16" t="n">
        <v>1.7</v>
      </c>
      <c r="F21" s="4" t="n">
        <v>14</v>
      </c>
      <c r="G21" s="4" t="n">
        <v>13</v>
      </c>
      <c r="H21" s="4" t="n">
        <v>6.8</v>
      </c>
      <c r="I21" s="4" t="n">
        <v>11</v>
      </c>
      <c r="J21" s="5" t="inlineStr">
        <is>
          <t>Post bearing replacement WO-2024-0312. Normal.</t>
        </is>
      </c>
    </row>
    <row r="22" ht="26" customHeight="1">
      <c r="A22" s="7" t="inlineStr">
        <is>
          <t>12-Mar-2024</t>
        </is>
      </c>
      <c r="B22" s="7" t="inlineStr">
        <is>
          <t>PUMP-102</t>
        </is>
      </c>
      <c r="C22" s="7" t="inlineStr">
        <is>
          <t>STANDBY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8" t="inlineStr">
        <is>
          <t>Standby. Seal leaking (3-5 drops/min). Scheduled repair.</t>
        </is>
      </c>
    </row>
    <row r="23" ht="26" customHeight="1">
      <c r="A23" s="4" t="inlineStr">
        <is>
          <t>10-Apr-2024</t>
        </is>
      </c>
      <c r="B23" s="4" t="inlineStr">
        <is>
          <t>PUMP-101</t>
        </is>
      </c>
      <c r="C23" s="4" t="inlineStr">
        <is>
          <t>DUTY</t>
        </is>
      </c>
      <c r="D23" s="16" t="n">
        <v>1.7</v>
      </c>
      <c r="E23" s="16" t="n">
        <v>1.6</v>
      </c>
      <c r="F23" s="4" t="n">
        <v>13</v>
      </c>
      <c r="G23" s="4" t="n">
        <v>13</v>
      </c>
      <c r="H23" s="4" t="n">
        <v>6.9</v>
      </c>
      <c r="I23" s="4" t="n">
        <v>10.9</v>
      </c>
      <c r="J23" s="5" t="inlineStr">
        <is>
          <t>Normal</t>
        </is>
      </c>
    </row>
    <row r="24" ht="26" customHeight="1">
      <c r="A24" s="7" t="inlineStr">
        <is>
          <t>10-May-2024</t>
        </is>
      </c>
      <c r="B24" s="7" t="inlineStr">
        <is>
          <t>PUMP-101</t>
        </is>
      </c>
      <c r="C24" s="7" t="inlineStr">
        <is>
          <t>DUTY</t>
        </is>
      </c>
      <c r="D24" s="16" t="n">
        <v>1.8</v>
      </c>
      <c r="E24" s="16" t="n">
        <v>1.7</v>
      </c>
      <c r="F24" s="7" t="n">
        <v>13</v>
      </c>
      <c r="G24" s="7" t="n">
        <v>14</v>
      </c>
      <c r="H24" s="7" t="n">
        <v>6.8</v>
      </c>
      <c r="I24" s="7" t="n">
        <v>11</v>
      </c>
      <c r="J24" s="8" t="inlineStr">
        <is>
          <t>Normal</t>
        </is>
      </c>
    </row>
    <row r="25" ht="26" customHeight="1">
      <c r="A25" s="4" t="inlineStr">
        <is>
          <t>18-Jun-2024</t>
        </is>
      </c>
      <c r="B25" s="4" t="inlineStr">
        <is>
          <t>PUMP-102</t>
        </is>
      </c>
      <c r="C25" s="4" t="inlineStr">
        <is>
          <t>DUTY</t>
        </is>
      </c>
      <c r="D25" s="16" t="n">
        <v>1.6</v>
      </c>
      <c r="E25" s="16" t="n">
        <v>1.5</v>
      </c>
      <c r="F25" s="4" t="n">
        <v>11</v>
      </c>
      <c r="G25" s="4" t="n">
        <v>12</v>
      </c>
      <c r="H25" s="4" t="n">
        <v>6.9</v>
      </c>
      <c r="I25" s="4" t="n">
        <v>10.8</v>
      </c>
      <c r="J25" s="5" t="inlineStr">
        <is>
          <t>Post seal + NDE bearing replacement. Normal.</t>
        </is>
      </c>
    </row>
    <row r="26" ht="26" customHeight="1">
      <c r="A26" s="7" t="inlineStr">
        <is>
          <t>10-Jul-2024</t>
        </is>
      </c>
      <c r="B26" s="7" t="inlineStr">
        <is>
          <t>PUMP-101</t>
        </is>
      </c>
      <c r="C26" s="7" t="inlineStr">
        <is>
          <t>DUTY</t>
        </is>
      </c>
      <c r="D26" s="16" t="n">
        <v>1.8</v>
      </c>
      <c r="E26" s="16" t="n">
        <v>1.7</v>
      </c>
      <c r="F26" s="7" t="n">
        <v>13</v>
      </c>
      <c r="G26" s="7" t="n">
        <v>13</v>
      </c>
      <c r="H26" s="7" t="n">
        <v>6.8</v>
      </c>
      <c r="I26" s="7" t="n">
        <v>11.1</v>
      </c>
      <c r="J26" s="8" t="inlineStr">
        <is>
          <t>Normal</t>
        </is>
      </c>
    </row>
    <row r="27" ht="26" customHeight="1">
      <c r="A27" s="4" t="inlineStr">
        <is>
          <t>10-Aug-2024</t>
        </is>
      </c>
      <c r="B27" s="4" t="inlineStr">
        <is>
          <t>PUMP-101</t>
        </is>
      </c>
      <c r="C27" s="4" t="inlineStr">
        <is>
          <t>DUTY</t>
        </is>
      </c>
      <c r="D27" s="16" t="n">
        <v>1.8</v>
      </c>
      <c r="E27" s="16" t="n">
        <v>1.8</v>
      </c>
      <c r="F27" s="4" t="n">
        <v>14</v>
      </c>
      <c r="G27" s="4" t="n">
        <v>13</v>
      </c>
      <c r="H27" s="4" t="n">
        <v>6.7</v>
      </c>
      <c r="I27" s="4" t="n">
        <v>11.2</v>
      </c>
      <c r="J27" s="5" t="inlineStr">
        <is>
          <t>Normal</t>
        </is>
      </c>
    </row>
    <row r="28" ht="26" customHeight="1">
      <c r="A28" s="7" t="inlineStr">
        <is>
          <t>22-Sep-2024</t>
        </is>
      </c>
      <c r="B28" s="7" t="inlineStr">
        <is>
          <t>PUMP-101</t>
        </is>
      </c>
      <c r="C28" s="7" t="inlineStr">
        <is>
          <t>DUTY</t>
        </is>
      </c>
      <c r="D28" s="16" t="n">
        <v>1.8</v>
      </c>
      <c r="E28" s="16" t="n">
        <v>1.7</v>
      </c>
      <c r="F28" s="7" t="n">
        <v>14</v>
      </c>
      <c r="G28" s="7" t="n">
        <v>16</v>
      </c>
      <c r="H28" s="7" t="n">
        <v>6.8</v>
      </c>
      <c r="I28" s="7" t="n">
        <v>11.1</v>
      </c>
      <c r="J28" s="8" t="inlineStr">
        <is>
          <t>Q3 Inspection. Normal.</t>
        </is>
      </c>
    </row>
    <row r="29" ht="26" customHeight="1">
      <c r="A29" s="4" t="inlineStr">
        <is>
          <t>22-Sep-2024</t>
        </is>
      </c>
      <c r="B29" s="4" t="inlineStr">
        <is>
          <t>PUMP-102</t>
        </is>
      </c>
      <c r="C29" s="4" t="inlineStr">
        <is>
          <t>STANDBY</t>
        </is>
      </c>
      <c r="D29" s="16" t="n">
        <v>1.6</v>
      </c>
      <c r="E29" s="16" t="n">
        <v>1.5</v>
      </c>
      <c r="F29" s="4" t="n">
        <v>11</v>
      </c>
      <c r="G29" s="4" t="n">
        <v>12</v>
      </c>
      <c r="H29" s="4" t="inlineStr">
        <is>
          <t>-</t>
        </is>
      </c>
      <c r="I29" s="4" t="inlineStr">
        <is>
          <t>-</t>
        </is>
      </c>
      <c r="J29" s="5" t="inlineStr">
        <is>
          <t>Q3 Inspection. Wearing ring borderline 0.48mm.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2" customWidth="1" min="3" max="3"/>
    <col width="18" customWidth="1" min="4" max="4"/>
    <col width="20" customWidth="1" min="5" max="5"/>
    <col width="14" customWidth="1" min="6" max="6"/>
    <col width="16" customWidth="1" min="7" max="7"/>
    <col width="14" customWidth="1" min="8" max="8"/>
    <col width="10" customWidth="1" min="9" max="9"/>
    <col width="12" customWidth="1" min="10" max="10"/>
    <col width="12" customWidth="1" min="11" max="11"/>
    <col width="16" customWidth="1" min="12" max="12"/>
    <col width="12" customWidth="1" min="13" max="13"/>
  </cols>
  <sheetData>
    <row r="1">
      <c r="A1" s="1" t="inlineStr">
        <is>
          <t>BHARAT STEEL PLANT – EQUIPMENT REGISTER</t>
        </is>
      </c>
    </row>
    <row r="2">
      <c r="A2" s="2" t="inlineStr">
        <is>
          <t>Pump House B | Centrifugal Pumps | Maintained by: Mechanical Dept. | Reviewed: Oct 2024</t>
        </is>
      </c>
    </row>
    <row r="4" ht="30" customHeight="1">
      <c r="A4" s="3" t="inlineStr">
        <is>
          <t>Equipment Tag</t>
        </is>
      </c>
      <c r="B4" s="3" t="inlineStr">
        <is>
          <t>Description</t>
        </is>
      </c>
      <c r="C4" s="3" t="inlineStr">
        <is>
          <t>Make</t>
        </is>
      </c>
      <c r="D4" s="3" t="inlineStr">
        <is>
          <t>Model No.</t>
        </is>
      </c>
      <c r="E4" s="3" t="inlineStr">
        <is>
          <t>Serial No.</t>
        </is>
      </c>
      <c r="F4" s="3" t="inlineStr">
        <is>
          <t>Year Commissioned</t>
        </is>
      </c>
      <c r="G4" s="3" t="inlineStr">
        <is>
          <t>Design Capacity (M³/Hr)</t>
        </is>
      </c>
      <c r="H4" s="3" t="inlineStr">
        <is>
          <t>Rated Head (MLC)</t>
        </is>
      </c>
      <c r="I4" s="3" t="inlineStr">
        <is>
          <t>Speed (RPM)</t>
        </is>
      </c>
      <c r="J4" s="3" t="inlineStr">
        <is>
          <t>Motor Power (kW)</t>
        </is>
      </c>
      <c r="K4" s="3" t="inlineStr">
        <is>
          <t>Current Status</t>
        </is>
      </c>
      <c r="L4" s="3" t="inlineStr">
        <is>
          <t>Last Major Overhaul</t>
        </is>
      </c>
      <c r="M4" s="3" t="inlineStr">
        <is>
          <t>Next PM Due</t>
        </is>
      </c>
    </row>
    <row r="5" ht="32" customHeight="1">
      <c r="A5" s="4" t="inlineStr">
        <is>
          <t>PUMP-101</t>
        </is>
      </c>
      <c r="B5" s="4" t="inlineStr">
        <is>
          <t>Single Stage Centrifugal Pump, End Suction, Back Pull-Out, SS304</t>
        </is>
      </c>
      <c r="C5" s="4" t="inlineStr">
        <is>
          <t>Kirloskar Brothers Ltd.</t>
        </is>
      </c>
      <c r="D5" s="4" t="inlineStr">
        <is>
          <t>KBL-RD65-200</t>
        </is>
      </c>
      <c r="E5" s="4" t="inlineStr">
        <is>
          <t>KBL/2019/SP/4432</t>
        </is>
      </c>
      <c r="F5" s="4" t="n">
        <v>2019</v>
      </c>
      <c r="G5" s="4" t="n">
        <v>30</v>
      </c>
      <c r="H5" s="4" t="n">
        <v>70</v>
      </c>
      <c r="I5" s="4" t="n">
        <v>2900</v>
      </c>
      <c r="J5" s="4" t="n">
        <v>11</v>
      </c>
      <c r="K5" s="6" t="inlineStr">
        <is>
          <t>DUTY</t>
        </is>
      </c>
      <c r="L5" s="4" t="inlineStr">
        <is>
          <t>Dec 2023</t>
        </is>
      </c>
      <c r="M5" s="4" t="inlineStr">
        <is>
          <t>Dec 2024</t>
        </is>
      </c>
    </row>
    <row r="6" ht="32" customHeight="1">
      <c r="A6" s="4" t="inlineStr">
        <is>
          <t>PUMP-102</t>
        </is>
      </c>
      <c r="B6" s="4" t="inlineStr">
        <is>
          <t>Single Stage Centrifugal Pump, End Suction, Back Pull-Out, SS304 (Standby)</t>
        </is>
      </c>
      <c r="C6" s="4" t="inlineStr">
        <is>
          <t>Kirloskar Brothers Ltd.</t>
        </is>
      </c>
      <c r="D6" s="4" t="inlineStr">
        <is>
          <t>KBL-RD65-200</t>
        </is>
      </c>
      <c r="E6" s="4" t="inlineStr">
        <is>
          <t>KBL/2019/SP/4433</t>
        </is>
      </c>
      <c r="F6" s="4" t="n">
        <v>2019</v>
      </c>
      <c r="G6" s="4" t="n">
        <v>30</v>
      </c>
      <c r="H6" s="4" t="n">
        <v>70</v>
      </c>
      <c r="I6" s="4" t="n">
        <v>2900</v>
      </c>
      <c r="J6" s="4" t="n">
        <v>11</v>
      </c>
      <c r="K6" s="9" t="inlineStr">
        <is>
          <t>STANDBY</t>
        </is>
      </c>
      <c r="L6" s="4" t="inlineStr">
        <is>
          <t>Jun 2024</t>
        </is>
      </c>
      <c r="M6" s="4" t="inlineStr">
        <is>
          <t>Dec 2024</t>
        </is>
      </c>
    </row>
    <row r="7" ht="32" customHeight="1">
      <c r="A7" s="4" t="inlineStr">
        <is>
          <t>MTR-101</t>
        </is>
      </c>
      <c r="B7" s="4" t="inlineStr">
        <is>
          <t>3-Phase Induction Motor – Duty for PUMP-101</t>
        </is>
      </c>
      <c r="C7" s="4" t="inlineStr">
        <is>
          <t>ABB</t>
        </is>
      </c>
      <c r="D7" s="4" t="inlineStr">
        <is>
          <t>M2BAX-132M-2</t>
        </is>
      </c>
      <c r="E7" s="4" t="inlineStr">
        <is>
          <t>ABB/2019/MTR/7721</t>
        </is>
      </c>
      <c r="F7" s="4" t="n">
        <v>2019</v>
      </c>
      <c r="G7" s="4" t="inlineStr">
        <is>
          <t>-</t>
        </is>
      </c>
      <c r="H7" s="4" t="inlineStr">
        <is>
          <t>-</t>
        </is>
      </c>
      <c r="I7" s="4" t="n">
        <v>2900</v>
      </c>
      <c r="J7" s="4" t="n">
        <v>11</v>
      </c>
      <c r="K7" s="6" t="inlineStr">
        <is>
          <t>DUTY</t>
        </is>
      </c>
      <c r="L7" s="4" t="inlineStr">
        <is>
          <t>Dec 2023</t>
        </is>
      </c>
      <c r="M7" s="4" t="inlineStr">
        <is>
          <t>Dec 2024</t>
        </is>
      </c>
    </row>
    <row r="8" ht="32" customHeight="1">
      <c r="A8" s="4" t="inlineStr">
        <is>
          <t>MTR-102</t>
        </is>
      </c>
      <c r="B8" s="4" t="inlineStr">
        <is>
          <t>3-Phase Induction Motor – Duty for PUMP-102</t>
        </is>
      </c>
      <c r="C8" s="4" t="inlineStr">
        <is>
          <t>ABB</t>
        </is>
      </c>
      <c r="D8" s="4" t="inlineStr">
        <is>
          <t>M2BAX-132M-2</t>
        </is>
      </c>
      <c r="E8" s="4" t="inlineStr">
        <is>
          <t>ABB/2019/MTR/7722</t>
        </is>
      </c>
      <c r="F8" s="4" t="n">
        <v>2019</v>
      </c>
      <c r="G8" s="4" t="inlineStr">
        <is>
          <t>-</t>
        </is>
      </c>
      <c r="H8" s="4" t="inlineStr">
        <is>
          <t>-</t>
        </is>
      </c>
      <c r="I8" s="4" t="n">
        <v>2900</v>
      </c>
      <c r="J8" s="4" t="n">
        <v>11</v>
      </c>
      <c r="K8" s="9" t="inlineStr">
        <is>
          <t>STANDBY</t>
        </is>
      </c>
      <c r="L8" s="4" t="inlineStr">
        <is>
          <t>Jun 2024</t>
        </is>
      </c>
      <c r="M8" s="4" t="inlineStr">
        <is>
          <t>Dec 2024</t>
        </is>
      </c>
    </row>
    <row r="9" ht="32" customHeight="1">
      <c r="A9" s="4" t="inlineStr">
        <is>
          <t>VFD-101</t>
        </is>
      </c>
      <c r="B9" s="4" t="inlineStr">
        <is>
          <t>Variable Frequency Drive (VVVFD) for PUMP-101</t>
        </is>
      </c>
      <c r="C9" s="4" t="inlineStr">
        <is>
          <t>Siemens</t>
        </is>
      </c>
      <c r="D9" s="4" t="inlineStr">
        <is>
          <t>SINAMICS G120</t>
        </is>
      </c>
      <c r="E9" s="4" t="inlineStr">
        <is>
          <t>SIE/2019/VFD/3301</t>
        </is>
      </c>
      <c r="F9" s="4" t="n">
        <v>2019</v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n">
        <v>15</v>
      </c>
      <c r="K9" s="18" t="inlineStr">
        <is>
          <t>OPERATIONAL</t>
        </is>
      </c>
      <c r="L9" s="4" t="inlineStr">
        <is>
          <t>Jan 2023</t>
        </is>
      </c>
      <c r="M9" s="4" t="inlineStr">
        <is>
          <t>Jan 2025</t>
        </is>
      </c>
    </row>
    <row r="10" ht="32" customHeight="1">
      <c r="A10" s="4" t="inlineStr">
        <is>
          <t>VFD-102</t>
        </is>
      </c>
      <c r="B10" s="4" t="inlineStr">
        <is>
          <t>Variable Frequency Drive (VVVFD) for PUMP-102</t>
        </is>
      </c>
      <c r="C10" s="4" t="inlineStr">
        <is>
          <t>Siemens</t>
        </is>
      </c>
      <c r="D10" s="4" t="inlineStr">
        <is>
          <t>SINAMICS G120</t>
        </is>
      </c>
      <c r="E10" s="4" t="inlineStr">
        <is>
          <t>SIE/2019/VFD/3302</t>
        </is>
      </c>
      <c r="F10" s="4" t="n">
        <v>2019</v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n">
        <v>15</v>
      </c>
      <c r="K10" s="18" t="inlineStr">
        <is>
          <t>OPERATIONAL</t>
        </is>
      </c>
      <c r="L10" s="4" t="inlineStr">
        <is>
          <t>Jan 2023</t>
        </is>
      </c>
      <c r="M10" s="4" t="inlineStr">
        <is>
          <t>Jan 2025</t>
        </is>
      </c>
    </row>
    <row r="11" ht="32" customHeight="1">
      <c r="A11" s="4" t="inlineStr">
        <is>
          <t>TANK-201</t>
        </is>
      </c>
      <c r="B11" s="4" t="inlineStr">
        <is>
          <t>Feed Tank – SS304, 50 m³ capacity</t>
        </is>
      </c>
      <c r="C11" s="4" t="inlineStr">
        <is>
          <t>Bharat Tanks Ltd.</t>
        </is>
      </c>
      <c r="D11" s="4" t="inlineStr">
        <is>
          <t>BSP-T201-SS50</t>
        </is>
      </c>
      <c r="E11" s="4" t="inlineStr">
        <is>
          <t>BTL/2018/T/0981</t>
        </is>
      </c>
      <c r="F11" s="4" t="n">
        <v>2019</v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18" t="inlineStr">
        <is>
          <t>OPERATIONAL</t>
        </is>
      </c>
      <c r="L11" s="4" t="inlineStr">
        <is>
          <t>Mar 2024</t>
        </is>
      </c>
      <c r="M11" s="4" t="inlineStr">
        <is>
          <t>Mar 2025</t>
        </is>
      </c>
    </row>
    <row r="12" ht="32" customHeight="1">
      <c r="A12" s="4" t="inlineStr">
        <is>
          <t>STR-101</t>
        </is>
      </c>
      <c r="B12" s="4" t="inlineStr">
        <is>
          <t>Suction Strainer – Y-Type, SS316, DN80</t>
        </is>
      </c>
      <c r="C12" s="4" t="inlineStr">
        <is>
          <t>Forbes Marshall</t>
        </is>
      </c>
      <c r="D12" s="4" t="inlineStr">
        <is>
          <t>YS-DN80-SS316</t>
        </is>
      </c>
      <c r="E12" s="4" t="inlineStr">
        <is>
          <t>FM/2019/STR/0441</t>
        </is>
      </c>
      <c r="F12" s="4" t="n">
        <v>2019</v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18" t="inlineStr">
        <is>
          <t>OPERATIONAL</t>
        </is>
      </c>
      <c r="L12" s="4" t="inlineStr">
        <is>
          <t>Apr 2022</t>
        </is>
      </c>
      <c r="M12" s="4" t="inlineStr">
        <is>
          <t>Apr 2025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2026-07-02T06:23:32Z</dcterms:created>
  <dcterms:modified xmlns:dcterms="http://purl.org/dc/terms/" xmlns:xsi="http://www.w3.org/2001/XMLSchema-instance" xsi:type="dcterms:W3CDTF">2026-07-02T06:23:32Z</dcterms:modified>
</cp:coreProperties>
</file>